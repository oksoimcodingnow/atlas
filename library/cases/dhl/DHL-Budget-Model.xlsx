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Summary" sheetId="2" state="visible" r:id="rId2"/>
    <sheet name="ROI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111111"/>
    </font>
    <font>
      <color rgb="00666666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CC00"/>
      </patternFill>
    </fill>
    <fill>
      <patternFill patternType="solid">
        <fgColor rgb="00D4051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2" borderId="1" pivotButton="0" quotePrefix="0" xfId="0"/>
    <xf numFmtId="0" fontId="0" fillId="2" borderId="1" pivotButton="0" quotePrefix="0" xfId="0"/>
    <xf numFmtId="3" fontId="0" fillId="0" borderId="1" pivotButton="0" quotePrefix="0" xfId="0"/>
    <xf numFmtId="0" fontId="4" fillId="0" borderId="1" pivotButton="0" quotePrefix="0" xfId="0"/>
    <xf numFmtId="0" fontId="0" fillId="3" borderId="0" pivotButton="0" quotePrefix="0" xfId="0"/>
    <xf numFmtId="0" fontId="5" fillId="3" borderId="0" pivotButton="0" quotePrefix="0" xfId="0"/>
    <xf numFmtId="4" fontId="0" fillId="3" borderId="0" pivotButton="0" quotePrefix="0" xfId="0"/>
    <xf numFmtId="3" fontId="5" fillId="3" borderId="0" pivotButton="0" quotePrefix="0" xfId="0"/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9" fontId="5" fillId="3" borderId="0" pivotButton="0" quotePrefix="0" xfId="0"/>
    <xf numFmtId="3" fontId="0" fillId="2" borderId="1" pivotButton="0" quotePrefix="0" xfId="0"/>
    <xf numFmtId="9" fontId="0" fillId="2" borderId="1" pivotButton="0" quotePrefix="0" xfId="0"/>
    <xf numFmtId="0" fontId="6" fillId="0" borderId="0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6" customWidth="1" min="5" max="5"/>
    <col width="34" customWidth="1" min="6" max="6"/>
  </cols>
  <sheetData>
    <row r="1">
      <c r="A1" s="1" t="inlineStr">
        <is>
          <t>DHL × UOB WonderLab 2026 — ฿5M Budget Model</t>
        </is>
      </c>
    </row>
    <row r="2">
      <c r="A2" s="2" t="inlineStr">
        <is>
          <t>Edit yellow cells (Unit ฿ / Qty); subtotals &amp; totals auto-calculate.</t>
        </is>
      </c>
    </row>
    <row r="4">
      <c r="A4" s="3" t="inlineStr">
        <is>
          <t>Bucket</t>
        </is>
      </c>
      <c r="B4" s="3" t="inlineStr">
        <is>
          <t>Line item</t>
        </is>
      </c>
      <c r="C4" s="3" t="inlineStr">
        <is>
          <t>Unit ฿</t>
        </is>
      </c>
      <c r="D4" s="3" t="inlineStr">
        <is>
          <t>Qty</t>
        </is>
      </c>
      <c r="E4" s="3" t="inlineStr">
        <is>
          <t>Subtotal ฿</t>
        </is>
      </c>
      <c r="F4" s="3" t="inlineStr">
        <is>
          <t>Basis / source</t>
        </is>
      </c>
    </row>
    <row r="5">
      <c r="A5" s="4" t="inlineStr">
        <is>
          <t>1 · In-branch</t>
        </is>
      </c>
      <c r="B5" s="4" t="inlineStr">
        <is>
          <t>A1 posters</t>
        </is>
      </c>
      <c r="C5" s="5" t="n">
        <v>983</v>
      </c>
      <c r="D5" s="6" t="n">
        <v>108</v>
      </c>
      <c r="E5" s="7">
        <f>C5*D5</f>
        <v/>
      </c>
      <c r="F5" s="8" t="inlineStr">
        <is>
          <t>Gogoprint from ฿983</t>
        </is>
      </c>
    </row>
    <row r="6">
      <c r="A6" s="4" t="inlineStr"/>
      <c r="B6" s="4" t="inlineStr">
        <is>
          <t>Counter cards / tents</t>
        </is>
      </c>
      <c r="C6" s="5" t="n">
        <v>120</v>
      </c>
      <c r="D6" s="6" t="n">
        <v>360</v>
      </c>
      <c r="E6" s="7">
        <f>C6*D6</f>
        <v/>
      </c>
      <c r="F6" s="8" t="inlineStr">
        <is>
          <t>Gogoprint ~฿112 [est.]</t>
        </is>
      </c>
    </row>
    <row r="7">
      <c r="A7" s="4" t="inlineStr"/>
      <c r="B7" s="4" t="inlineStr">
        <is>
          <t>Box stickers (Green Stamp)</t>
        </is>
      </c>
      <c r="C7" s="5" t="n">
        <v>140</v>
      </c>
      <c r="D7" s="6" t="n">
        <v>1800</v>
      </c>
      <c r="E7" s="7">
        <f>C7*D7</f>
        <v/>
      </c>
      <c r="F7" s="8" t="inlineStr">
        <is>
          <t>Gogoprint holographic ฿140</t>
        </is>
      </c>
    </row>
    <row r="8">
      <c r="A8" s="4" t="inlineStr"/>
      <c r="B8" s="4" t="inlineStr">
        <is>
          <t>Branded standee</t>
        </is>
      </c>
      <c r="C8" s="5" t="n">
        <v>1500</v>
      </c>
      <c r="D8" s="6" t="n">
        <v>36</v>
      </c>
      <c r="E8" s="7">
        <f>C8*D8</f>
        <v/>
      </c>
      <c r="F8" s="8" t="inlineStr">
        <is>
          <t>Gogoprint standee [est.]</t>
        </is>
      </c>
    </row>
    <row r="9">
      <c r="A9" s="4" t="inlineStr"/>
      <c r="B9" s="4" t="inlineStr">
        <is>
          <t>Receipt redesign + thermal rolls</t>
        </is>
      </c>
      <c r="C9" s="5" t="n">
        <v>180000</v>
      </c>
      <c r="D9" s="6" t="n">
        <v>1</v>
      </c>
      <c r="E9" s="7">
        <f>C9*D9</f>
        <v/>
      </c>
      <c r="F9" s="8" t="inlineStr">
        <is>
          <t>thermal consumable [est.]</t>
        </is>
      </c>
    </row>
    <row r="10">
      <c r="A10" s="4" t="inlineStr"/>
      <c r="B10" s="4" t="inlineStr">
        <is>
          <t>In-branch screen content (creative)</t>
        </is>
      </c>
      <c r="C10" s="5" t="n">
        <v>250000</v>
      </c>
      <c r="D10" s="6" t="n">
        <v>1</v>
      </c>
      <c r="E10" s="7">
        <f>C10*D10</f>
        <v/>
      </c>
      <c r="F10" s="8" t="inlineStr">
        <is>
          <t>agency creative [est.]</t>
        </is>
      </c>
    </row>
    <row r="11">
      <c r="A11" s="4" t="inlineStr"/>
      <c r="B11" s="4" t="inlineStr">
        <is>
          <t>Install + refresh logistics (36 sites)</t>
        </is>
      </c>
      <c r="C11" s="5" t="n">
        <v>10000</v>
      </c>
      <c r="D11" s="6" t="n">
        <v>36</v>
      </c>
      <c r="E11" s="7">
        <f>C11*D11</f>
        <v/>
      </c>
      <c r="F11" s="8" t="inlineStr">
        <is>
          <t>rollout labour [est.]</t>
        </is>
      </c>
    </row>
    <row r="12">
      <c r="A12" s="4" t="inlineStr">
        <is>
          <t>2 · Digital</t>
        </is>
      </c>
      <c r="B12" s="4" t="inlineStr">
        <is>
          <t>QR landing + microsite</t>
        </is>
      </c>
      <c r="C12" s="5" t="n">
        <v>250000</v>
      </c>
      <c r="D12" s="6" t="n">
        <v>1</v>
      </c>
      <c r="E12" s="7">
        <f>C12*D12</f>
        <v/>
      </c>
      <c r="F12" s="8" t="inlineStr">
        <is>
          <t>agency dev [est.]</t>
        </is>
      </c>
    </row>
    <row r="13">
      <c r="A13" s="4" t="inlineStr"/>
      <c r="B13" s="4" t="inlineStr">
        <is>
          <t>LINE OA integration</t>
        </is>
      </c>
      <c r="C13" s="5" t="n">
        <v>350000</v>
      </c>
      <c r="D13" s="6" t="n">
        <v>1</v>
      </c>
      <c r="E13" s="7">
        <f>C13*D13</f>
        <v/>
      </c>
      <c r="F13" s="8" t="inlineStr">
        <is>
          <t>custom LINE dev [est.]</t>
        </is>
      </c>
    </row>
    <row r="14">
      <c r="A14" s="4" t="inlineStr"/>
      <c r="B14" s="4" t="inlineStr">
        <is>
          <t>LINE OA Pro subscription (3 mo)</t>
        </is>
      </c>
      <c r="C14" s="5" t="n">
        <v>1780</v>
      </c>
      <c r="D14" s="6" t="n">
        <v>3</v>
      </c>
      <c r="E14" s="7">
        <f>C14*D14</f>
        <v/>
      </c>
      <c r="F14" s="8" t="inlineStr">
        <is>
          <t>LINE OA Pro 2025</t>
        </is>
      </c>
    </row>
    <row r="15">
      <c r="A15" s="4" t="inlineStr"/>
      <c r="B15" s="4" t="inlineStr">
        <is>
          <t>LINE extra broadcast msgs</t>
        </is>
      </c>
      <c r="C15" s="5" t="n">
        <v>0.04</v>
      </c>
      <c r="D15" s="6" t="n">
        <v>3600000</v>
      </c>
      <c r="E15" s="7">
        <f>C15*D15</f>
        <v/>
      </c>
      <c r="F15" s="8" t="inlineStr">
        <is>
          <t>LINE ฿0.04/msg</t>
        </is>
      </c>
    </row>
    <row r="16">
      <c r="A16" s="4" t="inlineStr"/>
      <c r="B16" s="4" t="inlineStr">
        <is>
          <t>Thailand Green Map build</t>
        </is>
      </c>
      <c r="C16" s="5" t="n">
        <v>250000</v>
      </c>
      <c r="D16" s="6" t="n">
        <v>1</v>
      </c>
      <c r="E16" s="7">
        <f>C16*D16</f>
        <v/>
      </c>
      <c r="F16" s="8" t="inlineStr">
        <is>
          <t>data-viz [est.]</t>
        </is>
      </c>
    </row>
    <row r="17">
      <c r="A17" s="4" t="inlineStr">
        <is>
          <t>3 · Seller/SME</t>
        </is>
      </c>
      <c r="B17" s="4" t="inlineStr">
        <is>
          <t>Badge system + asset kit</t>
        </is>
      </c>
      <c r="C17" s="5" t="n">
        <v>200000</v>
      </c>
      <c r="D17" s="6" t="n">
        <v>1</v>
      </c>
      <c r="E17" s="7">
        <f>C17*D17</f>
        <v/>
      </c>
      <c r="F17" s="8" t="inlineStr">
        <is>
          <t>design+dev [est.]</t>
        </is>
      </c>
    </row>
    <row r="18">
      <c r="A18" s="4" t="inlineStr"/>
      <c r="B18" s="4" t="inlineStr">
        <is>
          <t>SME LINE-friend acquisition</t>
        </is>
      </c>
      <c r="C18" s="5" t="n">
        <v>15</v>
      </c>
      <c r="D18" s="6" t="n">
        <v>40000</v>
      </c>
      <c r="E18" s="7">
        <f>C18*D18</f>
        <v/>
      </c>
      <c r="F18" s="8" t="inlineStr">
        <is>
          <t>LINE friend ฿5–30, mid ฿15</t>
        </is>
      </c>
    </row>
    <row r="19">
      <c r="A19" s="4" t="inlineStr"/>
      <c r="B19" s="4" t="inlineStr">
        <is>
          <t>SME workshops/outreach</t>
        </is>
      </c>
      <c r="C19" s="5" t="n">
        <v>25000</v>
      </c>
      <c r="D19" s="6" t="n">
        <v>4</v>
      </c>
      <c r="E19" s="7">
        <f>C19*D19</f>
        <v/>
      </c>
      <c r="F19" s="8" t="inlineStr">
        <is>
          <t>events [est.]</t>
        </is>
      </c>
    </row>
    <row r="20">
      <c r="A20" s="4" t="inlineStr">
        <is>
          <t>4 · Content</t>
        </is>
      </c>
      <c r="B20" s="4" t="inlineStr">
        <is>
          <t>SME video shoot (days)</t>
        </is>
      </c>
      <c r="C20" s="5" t="n">
        <v>20000</v>
      </c>
      <c r="D20" s="6" t="n">
        <v>4</v>
      </c>
      <c r="E20" s="7">
        <f>C20*D20</f>
        <v/>
      </c>
      <c r="F20" s="8" t="inlineStr">
        <is>
          <t>Bangkok Video ฿20k/day</t>
        </is>
      </c>
    </row>
    <row r="21">
      <c r="A21" s="4" t="inlineStr"/>
      <c r="B21" s="4" t="inlineStr">
        <is>
          <t>Edit + multi-format versions</t>
        </is>
      </c>
      <c r="C21" s="5" t="n">
        <v>120000</v>
      </c>
      <c r="D21" s="6" t="n">
        <v>1</v>
      </c>
      <c r="E21" s="7">
        <f>C21*D21</f>
        <v/>
      </c>
      <c r="F21" s="8" t="inlineStr">
        <is>
          <t>post-production [est.]</t>
        </is>
      </c>
    </row>
    <row r="22">
      <c r="A22" s="4" t="inlineStr"/>
      <c r="B22" s="4" t="inlineStr">
        <is>
          <t>Crew/equip/location/music</t>
        </is>
      </c>
      <c r="C22" s="5" t="n">
        <v>150000</v>
      </c>
      <c r="D22" s="6" t="n">
        <v>1</v>
      </c>
      <c r="E22" s="7">
        <f>C22*D22</f>
        <v/>
      </c>
      <c r="F22" s="8" t="inlineStr">
        <is>
          <t>package inclusions</t>
        </is>
      </c>
    </row>
    <row r="23">
      <c r="A23" s="4" t="inlineStr"/>
      <c r="B23" s="4" t="inlineStr">
        <is>
          <t>Social content batch (3 mo)</t>
        </is>
      </c>
      <c r="C23" s="5" t="n">
        <v>50000</v>
      </c>
      <c r="D23" s="6" t="n">
        <v>3</v>
      </c>
      <c r="E23" s="7">
        <f>C23*D23</f>
        <v/>
      </c>
      <c r="F23" s="8" t="inlineStr">
        <is>
          <t>content retainer [est.]</t>
        </is>
      </c>
    </row>
    <row r="24">
      <c r="A24" s="4" t="inlineStr"/>
      <c r="B24" s="4" t="inlineStr">
        <is>
          <t>Paid amplification (light boost)</t>
        </is>
      </c>
      <c r="C24" s="5" t="n">
        <v>250000</v>
      </c>
      <c r="D24" s="6" t="n">
        <v>1</v>
      </c>
      <c r="E24" s="7">
        <f>C24*D24</f>
        <v/>
      </c>
      <c r="F24" s="8" t="inlineStr">
        <is>
          <t>LINE/Meta boost [est.]</t>
        </is>
      </c>
    </row>
    <row r="25">
      <c r="A25" s="4" t="inlineStr">
        <is>
          <t>5 · Measure/Staff</t>
        </is>
      </c>
      <c r="B25" s="4" t="inlineStr">
        <is>
          <t>Pre/post brand-lift survey (resp.)</t>
        </is>
      </c>
      <c r="C25" s="5" t="n">
        <v>700</v>
      </c>
      <c r="D25" s="6" t="n">
        <v>800</v>
      </c>
      <c r="E25" s="7">
        <f>C25*D25</f>
        <v/>
      </c>
      <c r="F25" s="8" t="inlineStr">
        <is>
          <t>CAPI/CAWI blend [est.], 2×400</t>
        </is>
      </c>
    </row>
    <row r="26">
      <c r="A26" s="4" t="inlineStr"/>
      <c r="B26" s="4" t="inlineStr">
        <is>
          <t>Staff briefing + scripts</t>
        </is>
      </c>
      <c r="C26" s="5" t="n">
        <v>40000</v>
      </c>
      <c r="D26" s="6" t="n">
        <v>1</v>
      </c>
      <c r="E26" s="7">
        <f>C26*D26</f>
        <v/>
      </c>
      <c r="F26" s="8" t="inlineStr">
        <is>
          <t>internal, low cost</t>
        </is>
      </c>
    </row>
    <row r="27">
      <c r="A27" s="4" t="inlineStr">
        <is>
          <t>6 · Contingency</t>
        </is>
      </c>
      <c r="B27" s="4" t="inlineStr">
        <is>
          <t>Buffer (reprints/variance/FX)</t>
        </is>
      </c>
      <c r="C27" s="5" t="n">
        <v>250000</v>
      </c>
      <c r="D27" s="6" t="n">
        <v>1</v>
      </c>
      <c r="E27" s="7">
        <f>C27*D27</f>
        <v/>
      </c>
      <c r="F27" s="8" t="inlineStr">
        <is>
          <t>5% best practice</t>
        </is>
      </c>
    </row>
    <row r="28">
      <c r="A28" s="9" t="n"/>
      <c r="B28" s="10" t="inlineStr">
        <is>
          <t>GRAND TOTAL</t>
        </is>
      </c>
      <c r="C28" s="11" t="n"/>
      <c r="D28" s="9" t="n"/>
      <c r="E28" s="12">
        <f>SUM(E5:E27)</f>
        <v/>
      </c>
      <c r="F28" s="9" t="n"/>
    </row>
    <row r="29">
      <c r="C29" s="13" t="n"/>
      <c r="E29" s="14" t="n"/>
    </row>
    <row r="30">
      <c r="B30" t="inlineStr">
        <is>
          <t>Target cap</t>
        </is>
      </c>
      <c r="C30" s="13" t="n"/>
      <c r="E30" s="14" t="n">
        <v>5000000</v>
      </c>
    </row>
    <row r="31">
      <c r="B31" t="inlineStr">
        <is>
          <t>Variance vs cap</t>
        </is>
      </c>
      <c r="C31" s="13" t="n"/>
      <c r="E31" s="14">
        <f>E28-E30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</cols>
  <sheetData>
    <row r="1">
      <c r="A1" s="1" t="inlineStr">
        <is>
          <t>Budget by Bucket</t>
        </is>
      </c>
    </row>
    <row r="3">
      <c r="A3" s="3" t="inlineStr">
        <is>
          <t>Bucket</t>
        </is>
      </c>
      <c r="B3" s="3" t="inlineStr">
        <is>
          <t>฿</t>
        </is>
      </c>
      <c r="C3" s="3" t="inlineStr">
        <is>
          <t>% of total</t>
        </is>
      </c>
    </row>
    <row r="4">
      <c r="A4" t="inlineStr">
        <is>
          <t>1 · In-branch</t>
        </is>
      </c>
      <c r="B4" s="14">
        <f>SUMIF(Budget!A:A,"1 · In-branch",Budget!E:E)</f>
        <v/>
      </c>
      <c r="C4" s="15">
        <f>B4/B11</f>
        <v/>
      </c>
    </row>
    <row r="5">
      <c r="A5" t="inlineStr">
        <is>
          <t>2 · Digital</t>
        </is>
      </c>
      <c r="B5" s="14">
        <f>SUMIF(Budget!A:A,"2 · Digital",Budget!E:E)</f>
        <v/>
      </c>
      <c r="C5" s="15">
        <f>B5/B11</f>
        <v/>
      </c>
    </row>
    <row r="6">
      <c r="A6" t="inlineStr">
        <is>
          <t>3 · Seller/SME</t>
        </is>
      </c>
      <c r="B6" s="14">
        <f>SUMIF(Budget!A:A,"3 · Seller/SME",Budget!E:E)</f>
        <v/>
      </c>
      <c r="C6" s="15">
        <f>B6/B11</f>
        <v/>
      </c>
    </row>
    <row r="7">
      <c r="A7" t="inlineStr">
        <is>
          <t>4 · Content</t>
        </is>
      </c>
      <c r="B7" s="14">
        <f>SUMIF(Budget!A:A,"4 · Content",Budget!E:E)</f>
        <v/>
      </c>
      <c r="C7" s="15">
        <f>B7/B11</f>
        <v/>
      </c>
    </row>
    <row r="8">
      <c r="A8" t="inlineStr">
        <is>
          <t>5 · Measure/Staff</t>
        </is>
      </c>
      <c r="B8" s="14">
        <f>SUMIF(Budget!A:A,"5 · Measure/Staff",Budget!E:E)</f>
        <v/>
      </c>
      <c r="C8" s="15">
        <f>B8/B11</f>
        <v/>
      </c>
    </row>
    <row r="9">
      <c r="A9" t="inlineStr">
        <is>
          <t>6 · Contingency</t>
        </is>
      </c>
      <c r="B9" s="14">
        <f>SUMIF(Budget!A:A,"6 · Contingency",Budget!E:E)</f>
        <v/>
      </c>
      <c r="C9" s="15">
        <f>B9/B11</f>
        <v/>
      </c>
    </row>
    <row r="11">
      <c r="A11" s="10" t="inlineStr">
        <is>
          <t>TOTAL</t>
        </is>
      </c>
      <c r="B11" s="12">
        <f>SUM(B4:B10)</f>
        <v/>
      </c>
      <c r="C11" s="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</cols>
  <sheetData>
    <row r="1">
      <c r="A1" s="1" t="inlineStr">
        <is>
          <t>ROI / Funnel Model (edit yellow)</t>
        </is>
      </c>
    </row>
    <row r="3">
      <c r="A3" s="4" t="inlineStr">
        <is>
          <t>Campaign cost (฿)</t>
        </is>
      </c>
      <c r="B3" s="7">
        <f>Budget!E28</f>
        <v/>
      </c>
      <c r="C3" s="8" t="inlineStr">
        <is>
          <t>from Budget tab</t>
        </is>
      </c>
    </row>
    <row r="4">
      <c r="A4" s="4" t="inlineStr">
        <is>
          <t>Customers reached (3 mo)</t>
        </is>
      </c>
      <c r="B4" s="17" t="n">
        <v>150000</v>
      </c>
      <c r="C4" s="8" t="inlineStr">
        <is>
          <t>proxy — DHL TH internal vol not public</t>
        </is>
      </c>
    </row>
    <row r="5">
      <c r="A5" s="4" t="inlineStr">
        <is>
          <t>Awareness lift (pp)</t>
        </is>
      </c>
      <c r="B5" s="18" t="n">
        <v>0.2</v>
      </c>
      <c r="C5" s="8" t="inlineStr">
        <is>
          <t>pre/post survey; brand-lift 2× norm</t>
        </is>
      </c>
    </row>
    <row r="6">
      <c r="A6" s="4" t="inlineStr">
        <is>
          <t>Opt-in conversion</t>
        </is>
      </c>
      <c r="B6" s="18" t="n">
        <v>0.1</v>
      </c>
      <c r="C6" s="8" t="inlineStr">
        <is>
          <t>proven eco-checkout 10–30%, use floor</t>
        </is>
      </c>
    </row>
    <row r="7">
      <c r="A7" s="4" t="inlineStr">
        <is>
          <t>Incremental opt-ins</t>
        </is>
      </c>
      <c r="B7" s="7">
        <f>B4*B5*B6</f>
        <v/>
      </c>
      <c r="C7" s="8" t="inlineStr">
        <is>
          <t>reached × lift × opt-in</t>
        </is>
      </c>
    </row>
    <row r="8">
      <c r="A8" s="4" t="inlineStr">
        <is>
          <t>Cost per aware customer (฿)</t>
        </is>
      </c>
      <c r="B8" s="7">
        <f>B3/(B4*B5)</f>
        <v/>
      </c>
      <c r="C8" s="8" t="inlineStr">
        <is>
          <t>awareness efficiency</t>
        </is>
      </c>
    </row>
    <row r="9">
      <c r="A9" s="4" t="inlineStr">
        <is>
          <t>Cost per incremental opt-in (฿)</t>
        </is>
      </c>
      <c r="B9" s="7">
        <f>B3/B7</f>
        <v/>
      </c>
      <c r="C9" s="8" t="inlineStr">
        <is>
          <t>falls as it scales</t>
        </is>
      </c>
    </row>
    <row r="10">
      <c r="A10" s="4" t="inlineStr">
        <is>
          <t>Carbon cost to DHL (฿)</t>
        </is>
      </c>
      <c r="B10" s="7" t="n">
        <v>0</v>
      </c>
      <c r="C10" s="8" t="inlineStr">
        <is>
          <t>customers fund via GoGreen Plus</t>
        </is>
      </c>
    </row>
    <row r="12">
      <c r="A12" s="19" t="inlineStr">
        <is>
          <t>Sensitivity — cost per opt-in at different opt-in rates</t>
        </is>
      </c>
    </row>
    <row r="13">
      <c r="A13" s="3" t="inlineStr">
        <is>
          <t>Opt-in %</t>
        </is>
      </c>
      <c r="B13" s="3" t="inlineStr">
        <is>
          <t>Incremental opt-ins</t>
        </is>
      </c>
      <c r="C13" s="3" t="inlineStr">
        <is>
          <t>Cost / opt-in ฿</t>
        </is>
      </c>
    </row>
    <row r="14">
      <c r="A14" s="20" t="n">
        <v>0.02</v>
      </c>
      <c r="B14" s="7">
        <f>$B$4*$B$5*A14</f>
        <v/>
      </c>
      <c r="C14" s="7">
        <f>$B$3/B14</f>
        <v/>
      </c>
    </row>
    <row r="15">
      <c r="A15" s="20" t="n">
        <v>0.05</v>
      </c>
      <c r="B15" s="7">
        <f>$B$4*$B$5*A15</f>
        <v/>
      </c>
      <c r="C15" s="7">
        <f>$B$3/B15</f>
        <v/>
      </c>
    </row>
    <row r="16">
      <c r="A16" s="20" t="n">
        <v>0.1</v>
      </c>
      <c r="B16" s="7">
        <f>$B$4*$B$5*A16</f>
        <v/>
      </c>
      <c r="C16" s="7">
        <f>$B$3/B16</f>
        <v/>
      </c>
    </row>
    <row r="17">
      <c r="A17" s="20" t="n">
        <v>0.2</v>
      </c>
      <c r="B17" s="7">
        <f>$B$4*$B$5*A17</f>
        <v/>
      </c>
      <c r="C17" s="7">
        <f>$B$3/B17</f>
        <v/>
      </c>
    </row>
    <row r="18">
      <c r="A18" s="20" t="n">
        <v>0.3</v>
      </c>
      <c r="B18" s="7">
        <f>$B$4*$B$5*A18</f>
        <v/>
      </c>
      <c r="C18" s="7">
        <f>$B$3/B18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2026-06-27T16:51:40Z</dcterms:created>
  <dcterms:modified xsi:type="dcterms:W3CDTF">2026-06-27T16:51:40Z</dcterms:modified>
</cp:coreProperties>
</file>